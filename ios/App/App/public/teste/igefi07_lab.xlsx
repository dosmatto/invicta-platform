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.30\Agricultura De Precisao\ARQUIVOS GEORREFERENCIADOS\ISABELLE DE GEUS\2026\FERTILIDADE\"/>
    </mc:Choice>
  </mc:AlternateContent>
  <xr:revisionPtr revIDLastSave="0" documentId="13_ncr:1_{ADD48CE0-87E3-4B1D-8A74-A809E9852A59}" xr6:coauthVersionLast="47" xr6:coauthVersionMax="47" xr10:uidLastSave="{00000000-0000-0000-0000-000000000000}"/>
  <bookViews>
    <workbookView xWindow="-24120" yWindow="-2100" windowWidth="24240" windowHeight="13020" xr2:uid="{B92FF443-6983-4915-B03E-268EA87F1EB4}"/>
  </bookViews>
  <sheets>
    <sheet name="202604061116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1" i="1" l="1"/>
  <c r="M51" i="1"/>
  <c r="U50" i="1"/>
  <c r="M50" i="1"/>
  <c r="U49" i="1"/>
  <c r="M49" i="1"/>
  <c r="U48" i="1"/>
  <c r="M48" i="1"/>
  <c r="U47" i="1"/>
  <c r="M47" i="1"/>
  <c r="U46" i="1"/>
  <c r="M46" i="1"/>
  <c r="U45" i="1"/>
  <c r="M45" i="1"/>
  <c r="U44" i="1"/>
  <c r="M44" i="1"/>
  <c r="U43" i="1"/>
  <c r="M43" i="1"/>
  <c r="U42" i="1"/>
  <c r="M42" i="1"/>
  <c r="U41" i="1"/>
  <c r="M41" i="1"/>
  <c r="U40" i="1"/>
  <c r="M40" i="1"/>
  <c r="U39" i="1"/>
  <c r="M39" i="1"/>
  <c r="U38" i="1"/>
  <c r="M38" i="1"/>
  <c r="U37" i="1"/>
  <c r="M37" i="1"/>
  <c r="U36" i="1"/>
  <c r="M36" i="1"/>
  <c r="U35" i="1"/>
  <c r="M35" i="1"/>
  <c r="U34" i="1"/>
  <c r="M34" i="1"/>
  <c r="U33" i="1"/>
  <c r="M33" i="1"/>
  <c r="U32" i="1"/>
  <c r="M32" i="1"/>
  <c r="U31" i="1"/>
  <c r="M31" i="1"/>
  <c r="U30" i="1"/>
  <c r="M30" i="1"/>
  <c r="U29" i="1"/>
  <c r="M29" i="1"/>
  <c r="U28" i="1"/>
  <c r="M28" i="1"/>
  <c r="U27" i="1"/>
  <c r="M27" i="1"/>
  <c r="U26" i="1"/>
  <c r="M26" i="1"/>
  <c r="U25" i="1"/>
  <c r="M25" i="1"/>
  <c r="U24" i="1"/>
  <c r="M24" i="1"/>
  <c r="U23" i="1"/>
  <c r="M23" i="1"/>
  <c r="U22" i="1"/>
  <c r="M22" i="1"/>
  <c r="U21" i="1"/>
  <c r="M21" i="1"/>
  <c r="U20" i="1"/>
  <c r="M20" i="1"/>
  <c r="U19" i="1"/>
  <c r="M19" i="1"/>
  <c r="U18" i="1"/>
  <c r="M18" i="1"/>
  <c r="U17" i="1"/>
  <c r="M17" i="1"/>
  <c r="U16" i="1"/>
  <c r="M16" i="1"/>
  <c r="U15" i="1"/>
  <c r="M15" i="1"/>
  <c r="U14" i="1"/>
  <c r="M14" i="1"/>
  <c r="U13" i="1"/>
  <c r="M13" i="1"/>
  <c r="U12" i="1"/>
  <c r="M12" i="1"/>
  <c r="U11" i="1"/>
  <c r="M11" i="1"/>
  <c r="U10" i="1"/>
  <c r="M10" i="1"/>
  <c r="U9" i="1"/>
  <c r="M9" i="1"/>
  <c r="U8" i="1"/>
  <c r="M8" i="1"/>
  <c r="U7" i="1"/>
  <c r="M7" i="1"/>
  <c r="U6" i="1"/>
  <c r="M6" i="1"/>
  <c r="U5" i="1"/>
  <c r="M5" i="1"/>
  <c r="U4" i="1"/>
  <c r="M4" i="1"/>
  <c r="U3" i="1"/>
  <c r="M3" i="1"/>
</calcChain>
</file>

<file path=xl/sharedStrings.xml><?xml version="1.0" encoding="utf-8"?>
<sst xmlns="http://schemas.openxmlformats.org/spreadsheetml/2006/main" count="323" uniqueCount="29">
  <si>
    <t>id</t>
  </si>
  <si>
    <t>prof</t>
  </si>
  <si>
    <t>P res</t>
  </si>
  <si>
    <t>MOS</t>
  </si>
  <si>
    <t>pH</t>
  </si>
  <si>
    <t>Al</t>
  </si>
  <si>
    <t>K</t>
  </si>
  <si>
    <t>Ca</t>
  </si>
  <si>
    <t>Mg</t>
  </si>
  <si>
    <t>CTC</t>
  </si>
  <si>
    <t>V%</t>
  </si>
  <si>
    <t>m%</t>
  </si>
  <si>
    <t>t</t>
  </si>
  <si>
    <t>Argila</t>
  </si>
  <si>
    <t>S</t>
  </si>
  <si>
    <t>B</t>
  </si>
  <si>
    <t>Cu</t>
  </si>
  <si>
    <t>Fe</t>
  </si>
  <si>
    <t>Mn</t>
  </si>
  <si>
    <t>Zn</t>
  </si>
  <si>
    <t>K%</t>
  </si>
  <si>
    <t>mg/dm³</t>
  </si>
  <si>
    <t>g/dm³</t>
  </si>
  <si>
    <t>Sem Unidade</t>
  </si>
  <si>
    <t>mmolc/dm³</t>
  </si>
  <si>
    <t>%</t>
  </si>
  <si>
    <t>0-20</t>
  </si>
  <si>
    <t xml:space="preserve">  </t>
  </si>
  <si>
    <t>20-40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</si>
</sst>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 applyAlignment="1">
      <alignment horizontal="centerContinuous"/>
    </xf>
    <xf numFmtId="2" fontId="2" fillId="3" borderId="0" xfId="1" applyNumberFormat="1" applyFont="1" applyFill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2" fontId="0" fillId="0" borderId="0" xfId="1" applyNumberFormat="1" applyFont="1" applyAlignment="1">
      <alignment horizontal="centerContinuous"/>
    </xf>
    <xf numFmtId="0" fontId="0" fillId="0" borderId="0" xfId="0" quotePrefix="1"/>
    <xf numFmtId="2" fontId="0" fillId="0" borderId="0" xfId="0" applyNumberFormat="1"/>
  </cellXfs>
  <cellStyles count="2">
    <cellStyle name="Normal" xfId="0" builtinId="0"/>
    <cellStyle name="Vírgula 2" xfId="1" xr:uid="{29BC2E81-B675-46A3-9C59-1D61592BC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999-BAAA-4F62-8FA8-C333535CA026}">
  <dimension ref="A1:U51"/>
  <sheetViews>
    <sheetView tabSelected="1" topLeftCell="A31" workbookViewId="0">
      <selection activeCell="P47" sqref="P47"/>
    </sheetView>
  </sheetViews>
  <sheetFormatPr defaultRowHeight="15" x14ac:dyDescent="0.25"/>
  <cols>
    <col min="1" max="1" width="18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x14ac:dyDescent="0.25">
      <c r="B2" s="6"/>
      <c r="C2" s="6" t="s">
        <v>21</v>
      </c>
      <c r="D2" s="6" t="s">
        <v>22</v>
      </c>
      <c r="E2" s="6" t="s">
        <v>23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25</v>
      </c>
      <c r="L2" s="6" t="s">
        <v>25</v>
      </c>
      <c r="M2" s="6" t="s">
        <v>24</v>
      </c>
      <c r="N2" s="6" t="s">
        <v>25</v>
      </c>
      <c r="O2" s="7" t="s">
        <v>21</v>
      </c>
      <c r="P2" s="7" t="s">
        <v>21</v>
      </c>
      <c r="Q2" s="7" t="s">
        <v>21</v>
      </c>
      <c r="R2" s="7" t="s">
        <v>21</v>
      </c>
      <c r="S2" s="7" t="s">
        <v>21</v>
      </c>
      <c r="T2" s="7" t="s">
        <v>21</v>
      </c>
      <c r="U2" s="8" t="s">
        <v>25</v>
      </c>
    </row>
    <row r="3" spans="1:21" x14ac:dyDescent="0.25">
      <c r="A3" s="9">
        <v>1</v>
      </c>
      <c r="B3" t="s">
        <v>26</v>
      </c>
      <c r="C3">
        <v>145</v>
      </c>
      <c r="D3">
        <v>22</v>
      </c>
      <c r="E3">
        <v>5.5</v>
      </c>
      <c r="F3">
        <v>0</v>
      </c>
      <c r="G3">
        <v>1.4</v>
      </c>
      <c r="H3">
        <v>32</v>
      </c>
      <c r="I3">
        <v>10</v>
      </c>
      <c r="J3">
        <v>67.400000000000006</v>
      </c>
      <c r="K3">
        <v>64</v>
      </c>
      <c r="L3">
        <v>0</v>
      </c>
      <c r="M3">
        <f t="shared" ref="M3:M40" si="0">F3+G3+H3+I3</f>
        <v>43.4</v>
      </c>
      <c r="N3">
        <v>102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s="10">
        <f t="shared" ref="U3:U40" si="1">G3/J3*100</f>
        <v>2.077151335311572</v>
      </c>
    </row>
    <row r="4" spans="1:21" x14ac:dyDescent="0.25">
      <c r="A4" s="9">
        <v>2</v>
      </c>
      <c r="B4" t="s">
        <v>26</v>
      </c>
      <c r="C4">
        <v>115</v>
      </c>
      <c r="D4">
        <v>23</v>
      </c>
      <c r="E4">
        <v>5.4</v>
      </c>
      <c r="F4">
        <v>0</v>
      </c>
      <c r="G4">
        <v>2.5</v>
      </c>
      <c r="H4">
        <v>26</v>
      </c>
      <c r="I4">
        <v>9</v>
      </c>
      <c r="J4">
        <v>59.5</v>
      </c>
      <c r="K4">
        <v>63</v>
      </c>
      <c r="L4">
        <v>0</v>
      </c>
      <c r="M4">
        <f t="shared" si="0"/>
        <v>37.5</v>
      </c>
      <c r="N4">
        <v>89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s="10">
        <f t="shared" si="1"/>
        <v>4.2016806722689077</v>
      </c>
    </row>
    <row r="5" spans="1:21" x14ac:dyDescent="0.25">
      <c r="A5" s="9">
        <v>3</v>
      </c>
      <c r="B5" t="s">
        <v>26</v>
      </c>
      <c r="C5">
        <v>155</v>
      </c>
      <c r="D5">
        <v>28</v>
      </c>
      <c r="E5">
        <v>5.7</v>
      </c>
      <c r="F5">
        <v>0</v>
      </c>
      <c r="G5">
        <v>3.3</v>
      </c>
      <c r="H5">
        <v>49</v>
      </c>
      <c r="I5">
        <v>17</v>
      </c>
      <c r="J5">
        <v>91.3</v>
      </c>
      <c r="K5">
        <v>76</v>
      </c>
      <c r="L5">
        <v>0</v>
      </c>
      <c r="M5">
        <f t="shared" si="0"/>
        <v>69.3</v>
      </c>
      <c r="N5">
        <v>112</v>
      </c>
      <c r="O5" t="s">
        <v>27</v>
      </c>
      <c r="P5">
        <v>0.34</v>
      </c>
      <c r="Q5">
        <v>4.2</v>
      </c>
      <c r="R5">
        <v>74</v>
      </c>
      <c r="S5">
        <v>5.8</v>
      </c>
      <c r="T5">
        <v>6</v>
      </c>
      <c r="U5" s="10">
        <f t="shared" si="1"/>
        <v>3.6144578313253009</v>
      </c>
    </row>
    <row r="6" spans="1:21" x14ac:dyDescent="0.25">
      <c r="A6" s="9">
        <v>3</v>
      </c>
      <c r="B6" t="s">
        <v>28</v>
      </c>
      <c r="C6">
        <v>68</v>
      </c>
      <c r="D6">
        <v>15</v>
      </c>
      <c r="E6">
        <v>4.9000000000000004</v>
      </c>
      <c r="F6">
        <v>0.5</v>
      </c>
      <c r="G6">
        <v>2.2000000000000002</v>
      </c>
      <c r="H6">
        <v>13</v>
      </c>
      <c r="I6">
        <v>6</v>
      </c>
      <c r="J6">
        <v>46.2</v>
      </c>
      <c r="K6">
        <v>46</v>
      </c>
      <c r="L6">
        <v>0.5</v>
      </c>
      <c r="M6">
        <f t="shared" si="0"/>
        <v>21.7</v>
      </c>
      <c r="N6">
        <v>94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s="10">
        <f t="shared" si="1"/>
        <v>4.7619047619047628</v>
      </c>
    </row>
    <row r="7" spans="1:21" x14ac:dyDescent="0.25">
      <c r="A7" s="9">
        <v>4</v>
      </c>
      <c r="B7" t="s">
        <v>26</v>
      </c>
      <c r="C7">
        <v>86</v>
      </c>
      <c r="D7">
        <v>43</v>
      </c>
      <c r="E7">
        <v>5.2</v>
      </c>
      <c r="F7">
        <v>0</v>
      </c>
      <c r="G7">
        <v>5.6</v>
      </c>
      <c r="H7">
        <v>59</v>
      </c>
      <c r="I7">
        <v>24</v>
      </c>
      <c r="J7">
        <v>135.6</v>
      </c>
      <c r="K7">
        <v>65</v>
      </c>
      <c r="L7">
        <v>0</v>
      </c>
      <c r="M7">
        <f t="shared" si="0"/>
        <v>88.6</v>
      </c>
      <c r="N7">
        <v>494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s="10">
        <f t="shared" si="1"/>
        <v>4.1297935103244834</v>
      </c>
    </row>
    <row r="8" spans="1:21" x14ac:dyDescent="0.25">
      <c r="A8" s="9">
        <v>5</v>
      </c>
      <c r="B8" t="s">
        <v>26</v>
      </c>
      <c r="C8">
        <v>128</v>
      </c>
      <c r="D8">
        <v>49</v>
      </c>
      <c r="E8">
        <v>5.8</v>
      </c>
      <c r="F8">
        <v>0</v>
      </c>
      <c r="G8">
        <v>3.9</v>
      </c>
      <c r="H8">
        <v>92</v>
      </c>
      <c r="I8">
        <v>34</v>
      </c>
      <c r="J8">
        <v>161.9</v>
      </c>
      <c r="K8">
        <v>80</v>
      </c>
      <c r="L8">
        <v>0</v>
      </c>
      <c r="M8">
        <f t="shared" si="0"/>
        <v>129.9</v>
      </c>
      <c r="N8">
        <v>518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s="10">
        <f t="shared" si="1"/>
        <v>2.4088943792464486</v>
      </c>
    </row>
    <row r="9" spans="1:21" x14ac:dyDescent="0.25">
      <c r="A9" s="9">
        <v>6</v>
      </c>
      <c r="B9" t="s">
        <v>26</v>
      </c>
      <c r="C9">
        <v>125</v>
      </c>
      <c r="D9">
        <v>48</v>
      </c>
      <c r="E9">
        <v>5.9</v>
      </c>
      <c r="F9">
        <v>0</v>
      </c>
      <c r="G9">
        <v>4.3</v>
      </c>
      <c r="H9">
        <v>88</v>
      </c>
      <c r="I9">
        <v>33</v>
      </c>
      <c r="J9">
        <v>155.30000000000001</v>
      </c>
      <c r="K9">
        <v>81</v>
      </c>
      <c r="L9">
        <v>0</v>
      </c>
      <c r="M9">
        <f t="shared" si="0"/>
        <v>125.3</v>
      </c>
      <c r="N9">
        <v>497</v>
      </c>
      <c r="O9" t="s">
        <v>27</v>
      </c>
      <c r="P9">
        <v>0.77</v>
      </c>
      <c r="Q9">
        <v>3.5</v>
      </c>
      <c r="R9">
        <v>38</v>
      </c>
      <c r="S9">
        <v>5.6</v>
      </c>
      <c r="T9">
        <v>2.4</v>
      </c>
      <c r="U9" s="10">
        <f t="shared" si="1"/>
        <v>2.7688345138441721</v>
      </c>
    </row>
    <row r="10" spans="1:21" x14ac:dyDescent="0.25">
      <c r="A10" s="9">
        <v>6</v>
      </c>
      <c r="B10" t="s">
        <v>28</v>
      </c>
      <c r="C10">
        <v>116</v>
      </c>
      <c r="D10">
        <v>19</v>
      </c>
      <c r="E10">
        <v>4.7</v>
      </c>
      <c r="F10">
        <v>0.5</v>
      </c>
      <c r="G10">
        <v>2.1</v>
      </c>
      <c r="H10">
        <v>17</v>
      </c>
      <c r="I10">
        <v>6</v>
      </c>
      <c r="J10">
        <v>56.1</v>
      </c>
      <c r="K10">
        <v>45</v>
      </c>
      <c r="L10">
        <v>0.8</v>
      </c>
      <c r="M10">
        <f t="shared" si="0"/>
        <v>25.6</v>
      </c>
      <c r="N10">
        <v>129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s="10">
        <f t="shared" si="1"/>
        <v>3.7433155080213907</v>
      </c>
    </row>
    <row r="11" spans="1:21" x14ac:dyDescent="0.25">
      <c r="A11" s="9">
        <v>7</v>
      </c>
      <c r="B11" t="s">
        <v>26</v>
      </c>
      <c r="C11">
        <v>56</v>
      </c>
      <c r="D11">
        <v>37</v>
      </c>
      <c r="E11">
        <v>4.9000000000000004</v>
      </c>
      <c r="F11">
        <v>0</v>
      </c>
      <c r="G11">
        <v>5</v>
      </c>
      <c r="H11">
        <v>43</v>
      </c>
      <c r="I11">
        <v>16</v>
      </c>
      <c r="J11">
        <v>118</v>
      </c>
      <c r="K11">
        <v>54</v>
      </c>
      <c r="L11">
        <v>0</v>
      </c>
      <c r="M11">
        <f t="shared" si="0"/>
        <v>64</v>
      </c>
      <c r="N11">
        <v>508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s="10">
        <f t="shared" si="1"/>
        <v>4.2372881355932197</v>
      </c>
    </row>
    <row r="12" spans="1:21" x14ac:dyDescent="0.25">
      <c r="A12" s="9">
        <v>8</v>
      </c>
      <c r="B12" t="s">
        <v>26</v>
      </c>
      <c r="C12">
        <v>128</v>
      </c>
      <c r="D12">
        <v>48</v>
      </c>
      <c r="E12">
        <v>5.7</v>
      </c>
      <c r="F12">
        <v>0</v>
      </c>
      <c r="G12">
        <v>4.7</v>
      </c>
      <c r="H12">
        <v>89</v>
      </c>
      <c r="I12">
        <v>35</v>
      </c>
      <c r="J12">
        <v>161.69999999999999</v>
      </c>
      <c r="K12">
        <v>80</v>
      </c>
      <c r="L12">
        <v>0</v>
      </c>
      <c r="M12">
        <f t="shared" si="0"/>
        <v>128.69999999999999</v>
      </c>
      <c r="N12">
        <v>512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s="10">
        <f t="shared" si="1"/>
        <v>2.9066171923314785</v>
      </c>
    </row>
    <row r="13" spans="1:21" x14ac:dyDescent="0.25">
      <c r="A13" s="9">
        <v>9</v>
      </c>
      <c r="B13" t="s">
        <v>26</v>
      </c>
      <c r="C13">
        <v>54</v>
      </c>
      <c r="D13">
        <v>27</v>
      </c>
      <c r="E13">
        <v>5.3</v>
      </c>
      <c r="F13">
        <v>0</v>
      </c>
      <c r="G13">
        <v>2.2000000000000002</v>
      </c>
      <c r="H13">
        <v>42</v>
      </c>
      <c r="I13">
        <v>13</v>
      </c>
      <c r="J13">
        <v>87.2</v>
      </c>
      <c r="K13">
        <v>66</v>
      </c>
      <c r="L13">
        <v>0</v>
      </c>
      <c r="M13">
        <f t="shared" si="0"/>
        <v>57.2</v>
      </c>
      <c r="N13">
        <v>221</v>
      </c>
      <c r="O13" t="s">
        <v>27</v>
      </c>
      <c r="P13">
        <v>0.51</v>
      </c>
      <c r="Q13">
        <v>2.7</v>
      </c>
      <c r="R13">
        <v>78</v>
      </c>
      <c r="S13">
        <v>5.6</v>
      </c>
      <c r="T13">
        <v>2.5</v>
      </c>
      <c r="U13" s="10">
        <f t="shared" si="1"/>
        <v>2.522935779816514</v>
      </c>
    </row>
    <row r="14" spans="1:21" x14ac:dyDescent="0.25">
      <c r="A14" s="9">
        <v>9</v>
      </c>
      <c r="B14" t="s">
        <v>28</v>
      </c>
      <c r="C14">
        <v>76</v>
      </c>
      <c r="D14">
        <v>37</v>
      </c>
      <c r="E14">
        <v>5</v>
      </c>
      <c r="F14">
        <v>0</v>
      </c>
      <c r="G14">
        <v>5.9</v>
      </c>
      <c r="H14">
        <v>49</v>
      </c>
      <c r="I14">
        <v>18</v>
      </c>
      <c r="J14">
        <v>120.9</v>
      </c>
      <c r="K14">
        <v>60</v>
      </c>
      <c r="L14">
        <v>0</v>
      </c>
      <c r="M14">
        <f t="shared" si="0"/>
        <v>72.900000000000006</v>
      </c>
      <c r="N14">
        <v>519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s="10">
        <f t="shared" si="1"/>
        <v>4.8800661703887513</v>
      </c>
    </row>
    <row r="15" spans="1:21" x14ac:dyDescent="0.25">
      <c r="A15" s="9">
        <v>10</v>
      </c>
      <c r="B15" t="s">
        <v>26</v>
      </c>
      <c r="C15">
        <v>108</v>
      </c>
      <c r="D15">
        <v>40</v>
      </c>
      <c r="E15">
        <v>6.1</v>
      </c>
      <c r="F15">
        <v>0</v>
      </c>
      <c r="G15">
        <v>3.4</v>
      </c>
      <c r="H15">
        <v>77</v>
      </c>
      <c r="I15">
        <v>29</v>
      </c>
      <c r="J15">
        <v>132.4</v>
      </c>
      <c r="K15">
        <v>83</v>
      </c>
      <c r="L15">
        <v>0</v>
      </c>
      <c r="M15">
        <f t="shared" si="0"/>
        <v>109.4</v>
      </c>
      <c r="N15">
        <v>387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s="10">
        <f t="shared" si="1"/>
        <v>2.5679758308157097</v>
      </c>
    </row>
    <row r="16" spans="1:21" x14ac:dyDescent="0.25">
      <c r="A16" s="9">
        <v>11</v>
      </c>
      <c r="B16" t="s">
        <v>26</v>
      </c>
      <c r="C16">
        <v>48</v>
      </c>
      <c r="D16">
        <v>25</v>
      </c>
      <c r="E16">
        <v>5.3</v>
      </c>
      <c r="F16">
        <v>0</v>
      </c>
      <c r="G16">
        <v>2</v>
      </c>
      <c r="H16">
        <v>33</v>
      </c>
      <c r="I16">
        <v>10</v>
      </c>
      <c r="J16">
        <v>74</v>
      </c>
      <c r="K16">
        <v>61</v>
      </c>
      <c r="L16">
        <v>0</v>
      </c>
      <c r="M16">
        <f t="shared" si="0"/>
        <v>45</v>
      </c>
      <c r="N16">
        <v>224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s="10">
        <f t="shared" si="1"/>
        <v>2.7027027027027026</v>
      </c>
    </row>
    <row r="17" spans="1:21" x14ac:dyDescent="0.25">
      <c r="A17" s="9">
        <v>12</v>
      </c>
      <c r="B17" t="s">
        <v>26</v>
      </c>
      <c r="C17">
        <v>24</v>
      </c>
      <c r="D17">
        <v>26</v>
      </c>
      <c r="E17">
        <v>4.5999999999999996</v>
      </c>
      <c r="F17">
        <v>0.6</v>
      </c>
      <c r="G17">
        <v>2.5</v>
      </c>
      <c r="H17">
        <v>25</v>
      </c>
      <c r="I17">
        <v>10</v>
      </c>
      <c r="J17">
        <v>86.5</v>
      </c>
      <c r="K17">
        <v>43</v>
      </c>
      <c r="L17">
        <v>1.6</v>
      </c>
      <c r="M17">
        <f t="shared" si="0"/>
        <v>38.1</v>
      </c>
      <c r="N17">
        <v>238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s="10">
        <f t="shared" si="1"/>
        <v>2.8901734104046244</v>
      </c>
    </row>
    <row r="18" spans="1:21" x14ac:dyDescent="0.25">
      <c r="A18" s="9">
        <v>13</v>
      </c>
      <c r="B18" t="s">
        <v>26</v>
      </c>
      <c r="C18">
        <v>96</v>
      </c>
      <c r="D18">
        <v>20</v>
      </c>
      <c r="E18">
        <v>4.9000000000000004</v>
      </c>
      <c r="F18">
        <v>0</v>
      </c>
      <c r="G18">
        <v>1.6</v>
      </c>
      <c r="H18">
        <v>25</v>
      </c>
      <c r="I18">
        <v>11</v>
      </c>
      <c r="J18">
        <v>66.599999999999994</v>
      </c>
      <c r="K18">
        <v>56</v>
      </c>
      <c r="L18">
        <v>0</v>
      </c>
      <c r="M18">
        <f t="shared" si="0"/>
        <v>37.6</v>
      </c>
      <c r="N18">
        <v>145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s="10">
        <f t="shared" si="1"/>
        <v>2.4024024024024029</v>
      </c>
    </row>
    <row r="19" spans="1:21" x14ac:dyDescent="0.25">
      <c r="A19" s="9">
        <v>14</v>
      </c>
      <c r="B19" t="s">
        <v>26</v>
      </c>
      <c r="C19">
        <v>45</v>
      </c>
      <c r="D19">
        <v>26</v>
      </c>
      <c r="E19">
        <v>4.7</v>
      </c>
      <c r="F19">
        <v>0.5</v>
      </c>
      <c r="G19">
        <v>2.4</v>
      </c>
      <c r="H19">
        <v>27</v>
      </c>
      <c r="I19">
        <v>10</v>
      </c>
      <c r="J19">
        <v>85.4</v>
      </c>
      <c r="K19">
        <v>46</v>
      </c>
      <c r="L19">
        <v>0.5</v>
      </c>
      <c r="M19">
        <f t="shared" si="0"/>
        <v>39.9</v>
      </c>
      <c r="N19">
        <v>222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s="10">
        <f t="shared" si="1"/>
        <v>2.8103044496487115</v>
      </c>
    </row>
    <row r="20" spans="1:21" x14ac:dyDescent="0.25">
      <c r="A20" s="9">
        <v>15</v>
      </c>
      <c r="B20" t="s">
        <v>26</v>
      </c>
      <c r="C20">
        <v>68</v>
      </c>
      <c r="D20">
        <v>32</v>
      </c>
      <c r="E20">
        <v>5.2</v>
      </c>
      <c r="F20">
        <v>0</v>
      </c>
      <c r="G20">
        <v>2.4</v>
      </c>
      <c r="H20">
        <v>39</v>
      </c>
      <c r="I20">
        <v>12</v>
      </c>
      <c r="J20">
        <v>85.4</v>
      </c>
      <c r="K20">
        <v>63</v>
      </c>
      <c r="L20">
        <v>0</v>
      </c>
      <c r="M20">
        <f t="shared" si="0"/>
        <v>53.4</v>
      </c>
      <c r="N20">
        <v>213</v>
      </c>
      <c r="O20" t="s">
        <v>27</v>
      </c>
      <c r="P20">
        <v>0.43</v>
      </c>
      <c r="Q20">
        <v>2.8</v>
      </c>
      <c r="R20">
        <v>98</v>
      </c>
      <c r="S20">
        <v>5.7</v>
      </c>
      <c r="T20">
        <v>2.2999999999999998</v>
      </c>
      <c r="U20" s="10">
        <f t="shared" si="1"/>
        <v>2.8103044496487115</v>
      </c>
    </row>
    <row r="21" spans="1:21" x14ac:dyDescent="0.25">
      <c r="A21" s="9">
        <v>15</v>
      </c>
      <c r="B21" t="s">
        <v>28</v>
      </c>
      <c r="C21">
        <v>59</v>
      </c>
      <c r="D21">
        <v>26</v>
      </c>
      <c r="E21">
        <v>5.0999999999999996</v>
      </c>
      <c r="F21">
        <v>0</v>
      </c>
      <c r="G21">
        <v>1.8</v>
      </c>
      <c r="H21">
        <v>34</v>
      </c>
      <c r="I21">
        <v>10</v>
      </c>
      <c r="J21">
        <v>77.8</v>
      </c>
      <c r="K21">
        <v>59</v>
      </c>
      <c r="L21">
        <v>0</v>
      </c>
      <c r="M21">
        <f t="shared" si="0"/>
        <v>45.8</v>
      </c>
      <c r="N21">
        <v>271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s="10">
        <f t="shared" si="1"/>
        <v>2.3136246786632393</v>
      </c>
    </row>
    <row r="22" spans="1:21" x14ac:dyDescent="0.25">
      <c r="A22" s="9">
        <v>16</v>
      </c>
      <c r="B22" t="s">
        <v>26</v>
      </c>
      <c r="C22">
        <v>89</v>
      </c>
      <c r="D22">
        <v>37</v>
      </c>
      <c r="E22">
        <v>6.1</v>
      </c>
      <c r="F22">
        <v>0</v>
      </c>
      <c r="G22">
        <v>3.3</v>
      </c>
      <c r="H22">
        <v>68</v>
      </c>
      <c r="I22">
        <v>27</v>
      </c>
      <c r="J22">
        <v>120.3</v>
      </c>
      <c r="K22">
        <v>82</v>
      </c>
      <c r="L22">
        <v>0</v>
      </c>
      <c r="M22">
        <f t="shared" si="0"/>
        <v>98.3</v>
      </c>
      <c r="N22">
        <v>371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s="10">
        <f t="shared" si="1"/>
        <v>2.7431421446384037</v>
      </c>
    </row>
    <row r="23" spans="1:21" x14ac:dyDescent="0.25">
      <c r="A23" s="9">
        <v>17</v>
      </c>
      <c r="B23" t="s">
        <v>26</v>
      </c>
      <c r="C23">
        <v>115</v>
      </c>
      <c r="D23">
        <v>21</v>
      </c>
      <c r="E23">
        <v>4.7</v>
      </c>
      <c r="F23">
        <v>0</v>
      </c>
      <c r="G23">
        <v>1.3</v>
      </c>
      <c r="H23">
        <v>17</v>
      </c>
      <c r="I23">
        <v>5</v>
      </c>
      <c r="J23">
        <v>57.3</v>
      </c>
      <c r="K23">
        <v>41</v>
      </c>
      <c r="L23">
        <v>0</v>
      </c>
      <c r="M23">
        <f t="shared" si="0"/>
        <v>23.3</v>
      </c>
      <c r="N23">
        <v>146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s="10">
        <f t="shared" si="1"/>
        <v>2.2687609075043631</v>
      </c>
    </row>
    <row r="24" spans="1:21" x14ac:dyDescent="0.25">
      <c r="A24" s="9">
        <v>18</v>
      </c>
      <c r="B24" t="s">
        <v>26</v>
      </c>
      <c r="C24">
        <v>22</v>
      </c>
      <c r="D24">
        <v>27</v>
      </c>
      <c r="E24">
        <v>4.5999999999999996</v>
      </c>
      <c r="F24">
        <v>0.5</v>
      </c>
      <c r="G24">
        <v>2.2000000000000002</v>
      </c>
      <c r="H24">
        <v>23</v>
      </c>
      <c r="I24">
        <v>9</v>
      </c>
      <c r="J24">
        <v>84.2</v>
      </c>
      <c r="K24">
        <v>41</v>
      </c>
      <c r="L24">
        <v>0.6</v>
      </c>
      <c r="M24">
        <f t="shared" si="0"/>
        <v>34.700000000000003</v>
      </c>
      <c r="N24">
        <v>277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s="10">
        <f t="shared" si="1"/>
        <v>2.6128266033254155</v>
      </c>
    </row>
    <row r="25" spans="1:21" x14ac:dyDescent="0.25">
      <c r="A25" s="9">
        <v>19</v>
      </c>
      <c r="B25" t="s">
        <v>28</v>
      </c>
      <c r="C25">
        <v>24</v>
      </c>
      <c r="D25">
        <v>26</v>
      </c>
      <c r="E25">
        <v>4.5999999999999996</v>
      </c>
      <c r="F25">
        <v>0.5</v>
      </c>
      <c r="G25">
        <v>2.8</v>
      </c>
      <c r="H25">
        <v>25</v>
      </c>
      <c r="I25">
        <v>10</v>
      </c>
      <c r="J25">
        <v>89.8</v>
      </c>
      <c r="K25">
        <v>42</v>
      </c>
      <c r="L25">
        <v>0.8</v>
      </c>
      <c r="M25">
        <f t="shared" si="0"/>
        <v>38.299999999999997</v>
      </c>
      <c r="N25">
        <v>274</v>
      </c>
      <c r="O25" t="s">
        <v>27</v>
      </c>
      <c r="U25" s="10">
        <f t="shared" si="1"/>
        <v>3.1180400890868594</v>
      </c>
    </row>
    <row r="26" spans="1:21" x14ac:dyDescent="0.25">
      <c r="A26" s="9">
        <v>19</v>
      </c>
      <c r="B26" t="s">
        <v>26</v>
      </c>
      <c r="C26">
        <v>188</v>
      </c>
      <c r="D26">
        <v>24</v>
      </c>
      <c r="E26">
        <v>4.8</v>
      </c>
      <c r="F26">
        <v>0</v>
      </c>
      <c r="G26">
        <v>2.5</v>
      </c>
      <c r="H26">
        <v>27</v>
      </c>
      <c r="I26">
        <v>8</v>
      </c>
      <c r="J26">
        <v>72.5</v>
      </c>
      <c r="K26">
        <v>52</v>
      </c>
      <c r="L26">
        <v>0</v>
      </c>
      <c r="M26">
        <f t="shared" si="0"/>
        <v>37.5</v>
      </c>
      <c r="N26">
        <v>179</v>
      </c>
      <c r="O26" t="s">
        <v>27</v>
      </c>
      <c r="P26">
        <v>0.41</v>
      </c>
      <c r="Q26">
        <v>5.0999999999999996</v>
      </c>
      <c r="R26">
        <v>60</v>
      </c>
      <c r="S26">
        <v>5.7</v>
      </c>
      <c r="T26">
        <v>0.9</v>
      </c>
      <c r="U26" s="10">
        <f t="shared" si="1"/>
        <v>3.4482758620689653</v>
      </c>
    </row>
    <row r="27" spans="1:21" x14ac:dyDescent="0.25">
      <c r="A27" s="9">
        <v>20</v>
      </c>
      <c r="B27" t="s">
        <v>26</v>
      </c>
      <c r="C27">
        <v>147</v>
      </c>
      <c r="D27">
        <v>26</v>
      </c>
      <c r="E27">
        <v>5.2</v>
      </c>
      <c r="F27">
        <v>0</v>
      </c>
      <c r="G27">
        <v>2.7</v>
      </c>
      <c r="H27">
        <v>33</v>
      </c>
      <c r="I27">
        <v>11</v>
      </c>
      <c r="J27">
        <v>75.7</v>
      </c>
      <c r="K27">
        <v>62</v>
      </c>
      <c r="L27">
        <v>0</v>
      </c>
      <c r="M27">
        <f t="shared" si="0"/>
        <v>46.7</v>
      </c>
      <c r="N27">
        <v>171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s="10">
        <f t="shared" si="1"/>
        <v>3.5667107001321003</v>
      </c>
    </row>
    <row r="28" spans="1:21" x14ac:dyDescent="0.25">
      <c r="A28" s="9">
        <v>21</v>
      </c>
      <c r="B28" t="s">
        <v>26</v>
      </c>
      <c r="C28">
        <v>141</v>
      </c>
      <c r="D28">
        <v>30</v>
      </c>
      <c r="E28">
        <v>5.6</v>
      </c>
      <c r="F28">
        <v>0</v>
      </c>
      <c r="G28">
        <v>3.6</v>
      </c>
      <c r="H28">
        <v>44</v>
      </c>
      <c r="I28">
        <v>16</v>
      </c>
      <c r="J28">
        <v>86.6</v>
      </c>
      <c r="K28">
        <v>73</v>
      </c>
      <c r="L28">
        <v>0</v>
      </c>
      <c r="M28">
        <f t="shared" si="0"/>
        <v>63.6</v>
      </c>
      <c r="N28">
        <v>185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s="10">
        <f t="shared" si="1"/>
        <v>4.1570438799076213</v>
      </c>
    </row>
    <row r="29" spans="1:21" x14ac:dyDescent="0.25">
      <c r="A29" s="9">
        <v>22</v>
      </c>
      <c r="B29" t="s">
        <v>26</v>
      </c>
      <c r="C29">
        <v>92</v>
      </c>
      <c r="D29">
        <v>25</v>
      </c>
      <c r="E29">
        <v>5.7</v>
      </c>
      <c r="F29">
        <v>0</v>
      </c>
      <c r="G29">
        <v>3.5</v>
      </c>
      <c r="H29">
        <v>36</v>
      </c>
      <c r="I29">
        <v>14</v>
      </c>
      <c r="J29">
        <v>76.5</v>
      </c>
      <c r="K29">
        <v>70</v>
      </c>
      <c r="L29">
        <v>0</v>
      </c>
      <c r="M29">
        <f t="shared" si="0"/>
        <v>53.5</v>
      </c>
      <c r="N29">
        <v>179</v>
      </c>
      <c r="O29" t="s">
        <v>27</v>
      </c>
      <c r="P29">
        <v>0.32</v>
      </c>
      <c r="Q29">
        <v>3</v>
      </c>
      <c r="R29">
        <v>37</v>
      </c>
      <c r="S29">
        <v>5.8</v>
      </c>
      <c r="T29">
        <v>4.0999999999999996</v>
      </c>
      <c r="U29" s="10">
        <f t="shared" si="1"/>
        <v>4.5751633986928102</v>
      </c>
    </row>
    <row r="30" spans="1:21" x14ac:dyDescent="0.25">
      <c r="A30" s="9">
        <v>22</v>
      </c>
      <c r="B30" t="s">
        <v>28</v>
      </c>
      <c r="C30">
        <v>33</v>
      </c>
      <c r="D30">
        <v>16</v>
      </c>
      <c r="E30">
        <v>4.8</v>
      </c>
      <c r="F30">
        <v>0</v>
      </c>
      <c r="G30">
        <v>2.1</v>
      </c>
      <c r="H30">
        <v>15</v>
      </c>
      <c r="I30">
        <v>6</v>
      </c>
      <c r="J30">
        <v>54.1</v>
      </c>
      <c r="K30">
        <v>43</v>
      </c>
      <c r="L30">
        <v>0</v>
      </c>
      <c r="M30">
        <f t="shared" si="0"/>
        <v>23.1</v>
      </c>
      <c r="N30">
        <v>192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s="10">
        <f t="shared" si="1"/>
        <v>3.8817005545286505</v>
      </c>
    </row>
    <row r="31" spans="1:21" x14ac:dyDescent="0.25">
      <c r="A31" s="9">
        <v>23</v>
      </c>
      <c r="B31" t="s">
        <v>26</v>
      </c>
      <c r="C31">
        <v>121</v>
      </c>
      <c r="D31">
        <v>18</v>
      </c>
      <c r="E31">
        <v>4.9000000000000004</v>
      </c>
      <c r="F31">
        <v>0</v>
      </c>
      <c r="G31">
        <v>3.4</v>
      </c>
      <c r="H31">
        <v>16</v>
      </c>
      <c r="I31">
        <v>7</v>
      </c>
      <c r="J31">
        <v>59.4</v>
      </c>
      <c r="K31">
        <v>44</v>
      </c>
      <c r="L31">
        <v>0</v>
      </c>
      <c r="M31">
        <f t="shared" si="0"/>
        <v>26.4</v>
      </c>
      <c r="N31">
        <v>121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s="10">
        <f t="shared" si="1"/>
        <v>5.7239057239057241</v>
      </c>
    </row>
    <row r="32" spans="1:21" x14ac:dyDescent="0.25">
      <c r="A32" s="9">
        <v>24</v>
      </c>
      <c r="B32" t="s">
        <v>26</v>
      </c>
      <c r="C32">
        <v>110</v>
      </c>
      <c r="D32">
        <v>19</v>
      </c>
      <c r="E32">
        <v>5.0999999999999996</v>
      </c>
      <c r="F32">
        <v>0</v>
      </c>
      <c r="G32">
        <v>3.8</v>
      </c>
      <c r="H32">
        <v>19</v>
      </c>
      <c r="I32">
        <v>9</v>
      </c>
      <c r="J32">
        <v>59.8</v>
      </c>
      <c r="K32">
        <v>53</v>
      </c>
      <c r="L32">
        <v>0</v>
      </c>
      <c r="M32">
        <f t="shared" si="0"/>
        <v>31.8</v>
      </c>
      <c r="N32">
        <v>145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s="10">
        <f t="shared" si="1"/>
        <v>6.3545150501672243</v>
      </c>
    </row>
    <row r="33" spans="1:21" x14ac:dyDescent="0.25">
      <c r="A33" s="9">
        <v>25</v>
      </c>
      <c r="B33" t="s">
        <v>26</v>
      </c>
      <c r="C33">
        <v>105</v>
      </c>
      <c r="D33">
        <v>17</v>
      </c>
      <c r="E33">
        <v>5.5</v>
      </c>
      <c r="F33">
        <v>0</v>
      </c>
      <c r="G33">
        <v>2.8</v>
      </c>
      <c r="H33">
        <v>20</v>
      </c>
      <c r="I33">
        <v>10</v>
      </c>
      <c r="J33">
        <v>54.8</v>
      </c>
      <c r="K33">
        <v>60</v>
      </c>
      <c r="L33">
        <v>0</v>
      </c>
      <c r="M33">
        <f t="shared" si="0"/>
        <v>32.799999999999997</v>
      </c>
      <c r="N33">
        <v>163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s="10">
        <f t="shared" si="1"/>
        <v>5.1094890510948909</v>
      </c>
    </row>
    <row r="34" spans="1:21" x14ac:dyDescent="0.25">
      <c r="A34" s="9">
        <v>26</v>
      </c>
      <c r="B34" t="s">
        <v>26</v>
      </c>
      <c r="C34">
        <v>125</v>
      </c>
      <c r="D34">
        <v>19</v>
      </c>
      <c r="E34">
        <v>5.4</v>
      </c>
      <c r="F34">
        <v>0</v>
      </c>
      <c r="G34">
        <v>2.8</v>
      </c>
      <c r="H34">
        <v>25</v>
      </c>
      <c r="I34">
        <v>12</v>
      </c>
      <c r="J34">
        <v>61.8</v>
      </c>
      <c r="K34">
        <v>64</v>
      </c>
      <c r="L34">
        <v>0</v>
      </c>
      <c r="M34">
        <f t="shared" si="0"/>
        <v>39.799999999999997</v>
      </c>
      <c r="N34">
        <v>135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s="10">
        <f t="shared" si="1"/>
        <v>4.5307443365695788</v>
      </c>
    </row>
    <row r="35" spans="1:21" x14ac:dyDescent="0.25">
      <c r="A35" s="9">
        <v>27</v>
      </c>
      <c r="B35" t="s">
        <v>26</v>
      </c>
      <c r="C35">
        <v>118</v>
      </c>
      <c r="D35">
        <v>30</v>
      </c>
      <c r="E35">
        <v>5.9</v>
      </c>
      <c r="F35">
        <v>0</v>
      </c>
      <c r="G35">
        <v>3.6</v>
      </c>
      <c r="H35">
        <v>42</v>
      </c>
      <c r="I35">
        <v>17</v>
      </c>
      <c r="J35">
        <v>81.599999999999994</v>
      </c>
      <c r="K35">
        <v>77</v>
      </c>
      <c r="L35">
        <v>0</v>
      </c>
      <c r="M35">
        <f t="shared" si="0"/>
        <v>62.6</v>
      </c>
      <c r="N35">
        <v>153</v>
      </c>
      <c r="O35" t="s">
        <v>27</v>
      </c>
      <c r="P35">
        <v>0.54</v>
      </c>
      <c r="Q35">
        <v>2.1</v>
      </c>
      <c r="R35">
        <v>47</v>
      </c>
      <c r="S35">
        <v>6.5</v>
      </c>
      <c r="T35">
        <v>4.0999999999999996</v>
      </c>
      <c r="U35" s="10">
        <f t="shared" si="1"/>
        <v>4.4117647058823533</v>
      </c>
    </row>
    <row r="36" spans="1:21" x14ac:dyDescent="0.25">
      <c r="A36" s="9">
        <v>27</v>
      </c>
      <c r="B36" t="s">
        <v>28</v>
      </c>
      <c r="C36">
        <v>69</v>
      </c>
      <c r="D36">
        <v>16</v>
      </c>
      <c r="E36">
        <v>4.8</v>
      </c>
      <c r="F36">
        <v>0.5</v>
      </c>
      <c r="G36">
        <v>3.2</v>
      </c>
      <c r="H36">
        <v>11</v>
      </c>
      <c r="I36">
        <v>7</v>
      </c>
      <c r="J36">
        <v>51.2</v>
      </c>
      <c r="K36">
        <v>41</v>
      </c>
      <c r="L36">
        <v>1.9</v>
      </c>
      <c r="M36">
        <f t="shared" si="0"/>
        <v>21.7</v>
      </c>
      <c r="N36">
        <v>151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s="10">
        <f t="shared" si="1"/>
        <v>6.25</v>
      </c>
    </row>
    <row r="37" spans="1:21" x14ac:dyDescent="0.25">
      <c r="A37" s="9">
        <v>28</v>
      </c>
      <c r="B37" t="s">
        <v>26</v>
      </c>
      <c r="C37">
        <v>67</v>
      </c>
      <c r="D37">
        <v>12</v>
      </c>
      <c r="E37">
        <v>5.6</v>
      </c>
      <c r="F37">
        <v>0</v>
      </c>
      <c r="G37">
        <v>1.3</v>
      </c>
      <c r="H37">
        <v>20</v>
      </c>
      <c r="I37">
        <v>9</v>
      </c>
      <c r="J37">
        <v>47.3</v>
      </c>
      <c r="K37">
        <v>64</v>
      </c>
      <c r="L37">
        <v>0</v>
      </c>
      <c r="M37">
        <f t="shared" si="0"/>
        <v>30.3</v>
      </c>
      <c r="N37">
        <v>113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s="10">
        <f t="shared" si="1"/>
        <v>2.7484143763213531</v>
      </c>
    </row>
    <row r="38" spans="1:21" x14ac:dyDescent="0.25">
      <c r="A38" s="9">
        <v>29</v>
      </c>
      <c r="B38" t="s">
        <v>26</v>
      </c>
      <c r="C38">
        <v>103</v>
      </c>
      <c r="D38">
        <v>18</v>
      </c>
      <c r="E38">
        <v>5.7</v>
      </c>
      <c r="F38">
        <v>0</v>
      </c>
      <c r="G38">
        <v>1.7</v>
      </c>
      <c r="H38">
        <v>30</v>
      </c>
      <c r="I38">
        <v>11</v>
      </c>
      <c r="J38">
        <v>58.7</v>
      </c>
      <c r="K38">
        <v>73</v>
      </c>
      <c r="L38">
        <v>0</v>
      </c>
      <c r="M38">
        <f t="shared" si="0"/>
        <v>42.7</v>
      </c>
      <c r="N38">
        <v>117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s="10">
        <f t="shared" si="1"/>
        <v>2.8960817717206133</v>
      </c>
    </row>
    <row r="39" spans="1:21" x14ac:dyDescent="0.25">
      <c r="A39" s="9">
        <v>30</v>
      </c>
      <c r="B39" t="s">
        <v>26</v>
      </c>
      <c r="C39">
        <v>107</v>
      </c>
      <c r="D39">
        <v>28</v>
      </c>
      <c r="E39">
        <v>6.1</v>
      </c>
      <c r="F39">
        <v>0</v>
      </c>
      <c r="G39">
        <v>4.9000000000000004</v>
      </c>
      <c r="H39">
        <v>40</v>
      </c>
      <c r="I39">
        <v>15</v>
      </c>
      <c r="J39">
        <v>76.900000000000006</v>
      </c>
      <c r="K39">
        <v>78</v>
      </c>
      <c r="L39">
        <v>0</v>
      </c>
      <c r="M39">
        <f t="shared" si="0"/>
        <v>59.9</v>
      </c>
      <c r="N39">
        <v>141</v>
      </c>
      <c r="O39" t="s">
        <v>27</v>
      </c>
      <c r="P39">
        <v>0.45</v>
      </c>
      <c r="Q39">
        <v>3.8</v>
      </c>
      <c r="R39">
        <v>47</v>
      </c>
      <c r="S39">
        <v>3.7</v>
      </c>
      <c r="T39">
        <v>4.2</v>
      </c>
      <c r="U39" s="10">
        <f t="shared" si="1"/>
        <v>6.3719115734720413</v>
      </c>
    </row>
    <row r="40" spans="1:21" x14ac:dyDescent="0.25">
      <c r="A40" s="9">
        <v>30</v>
      </c>
      <c r="B40" t="s">
        <v>28</v>
      </c>
      <c r="C40">
        <v>123</v>
      </c>
      <c r="D40">
        <v>22</v>
      </c>
      <c r="E40">
        <v>5.6</v>
      </c>
      <c r="F40">
        <v>0</v>
      </c>
      <c r="G40">
        <v>1.8</v>
      </c>
      <c r="H40">
        <v>32</v>
      </c>
      <c r="I40">
        <v>11</v>
      </c>
      <c r="J40">
        <v>65.8</v>
      </c>
      <c r="K40">
        <v>68</v>
      </c>
      <c r="L40">
        <v>0</v>
      </c>
      <c r="M40">
        <f t="shared" si="0"/>
        <v>44.8</v>
      </c>
      <c r="N40">
        <v>150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s="10">
        <f t="shared" si="1"/>
        <v>2.735562310030395</v>
      </c>
    </row>
    <row r="41" spans="1:21" x14ac:dyDescent="0.25">
      <c r="A41" s="9">
        <v>31</v>
      </c>
      <c r="B41" t="s">
        <v>26</v>
      </c>
      <c r="C41">
        <v>142</v>
      </c>
      <c r="D41">
        <v>21</v>
      </c>
      <c r="E41">
        <v>5.6</v>
      </c>
      <c r="F41">
        <v>0</v>
      </c>
      <c r="G41">
        <v>2.8</v>
      </c>
      <c r="H41">
        <v>44</v>
      </c>
      <c r="I41">
        <v>13</v>
      </c>
      <c r="J41">
        <v>79.8</v>
      </c>
      <c r="K41">
        <v>75</v>
      </c>
      <c r="L41">
        <v>0</v>
      </c>
      <c r="M41">
        <f t="shared" ref="M41:M51" si="2">F41+G41+H41+I41</f>
        <v>59.8</v>
      </c>
      <c r="N41">
        <v>50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s="10">
        <f t="shared" ref="U41:U51" si="3">G41/J41*100</f>
        <v>3.5087719298245612</v>
      </c>
    </row>
    <row r="42" spans="1:21" x14ac:dyDescent="0.25">
      <c r="A42" s="9">
        <v>32</v>
      </c>
      <c r="B42" t="s">
        <v>26</v>
      </c>
      <c r="C42">
        <v>149</v>
      </c>
      <c r="D42">
        <v>16</v>
      </c>
      <c r="E42">
        <v>5.4</v>
      </c>
      <c r="F42">
        <v>0</v>
      </c>
      <c r="G42">
        <v>3</v>
      </c>
      <c r="H42">
        <v>25</v>
      </c>
      <c r="I42">
        <v>8</v>
      </c>
      <c r="J42">
        <v>58</v>
      </c>
      <c r="K42">
        <v>62</v>
      </c>
      <c r="L42">
        <v>0</v>
      </c>
      <c r="M42">
        <f t="shared" si="2"/>
        <v>36</v>
      </c>
      <c r="N42">
        <v>132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s="10">
        <f t="shared" si="3"/>
        <v>5.1724137931034484</v>
      </c>
    </row>
    <row r="43" spans="1:21" x14ac:dyDescent="0.25">
      <c r="A43" s="9">
        <v>33</v>
      </c>
      <c r="B43" t="s">
        <v>26</v>
      </c>
      <c r="C43">
        <v>107</v>
      </c>
      <c r="D43">
        <v>22</v>
      </c>
      <c r="E43">
        <v>5.6</v>
      </c>
      <c r="F43">
        <v>0</v>
      </c>
      <c r="G43">
        <v>2.2000000000000002</v>
      </c>
      <c r="H43">
        <v>33</v>
      </c>
      <c r="I43">
        <v>12</v>
      </c>
      <c r="J43">
        <v>70.2</v>
      </c>
      <c r="K43">
        <v>67</v>
      </c>
      <c r="L43">
        <v>0</v>
      </c>
      <c r="M43">
        <f t="shared" si="2"/>
        <v>47.2</v>
      </c>
      <c r="N43">
        <v>146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s="10">
        <f t="shared" si="3"/>
        <v>3.133903133903134</v>
      </c>
    </row>
    <row r="44" spans="1:21" x14ac:dyDescent="0.25">
      <c r="A44" s="9">
        <v>34</v>
      </c>
      <c r="B44" t="s">
        <v>28</v>
      </c>
      <c r="C44">
        <v>141</v>
      </c>
      <c r="D44">
        <v>22</v>
      </c>
      <c r="E44">
        <v>5.7</v>
      </c>
      <c r="F44">
        <v>0</v>
      </c>
      <c r="G44">
        <v>2.7</v>
      </c>
      <c r="H44">
        <v>32</v>
      </c>
      <c r="I44">
        <v>14</v>
      </c>
      <c r="J44">
        <v>67.7</v>
      </c>
      <c r="K44">
        <v>72</v>
      </c>
      <c r="L44">
        <v>0</v>
      </c>
      <c r="M44">
        <f t="shared" si="2"/>
        <v>48.7</v>
      </c>
      <c r="N44">
        <v>138</v>
      </c>
      <c r="O44" t="s">
        <v>27</v>
      </c>
      <c r="U44" s="10">
        <f t="shared" si="3"/>
        <v>3.9881831610044314</v>
      </c>
    </row>
    <row r="45" spans="1:21" x14ac:dyDescent="0.25">
      <c r="A45" s="9">
        <v>34</v>
      </c>
      <c r="B45" t="s">
        <v>26</v>
      </c>
      <c r="C45">
        <v>101</v>
      </c>
      <c r="D45">
        <v>25</v>
      </c>
      <c r="E45">
        <v>5.8</v>
      </c>
      <c r="F45">
        <v>0</v>
      </c>
      <c r="G45">
        <v>2.8</v>
      </c>
      <c r="H45">
        <v>42</v>
      </c>
      <c r="I45">
        <v>13</v>
      </c>
      <c r="J45">
        <v>75.8</v>
      </c>
      <c r="K45">
        <v>76</v>
      </c>
      <c r="L45">
        <v>0</v>
      </c>
      <c r="M45">
        <f t="shared" si="2"/>
        <v>57.8</v>
      </c>
      <c r="N45">
        <v>137</v>
      </c>
      <c r="O45" t="s">
        <v>27</v>
      </c>
      <c r="P45">
        <v>0.43</v>
      </c>
      <c r="Q45">
        <v>1.5</v>
      </c>
      <c r="R45">
        <v>49</v>
      </c>
      <c r="S45">
        <v>4</v>
      </c>
      <c r="T45">
        <v>5</v>
      </c>
      <c r="U45" s="10">
        <f t="shared" si="3"/>
        <v>3.6939313984168867</v>
      </c>
    </row>
    <row r="46" spans="1:21" x14ac:dyDescent="0.25">
      <c r="A46" s="9">
        <v>35</v>
      </c>
      <c r="B46" t="s">
        <v>26</v>
      </c>
      <c r="C46">
        <v>97</v>
      </c>
      <c r="D46">
        <v>21</v>
      </c>
      <c r="E46">
        <v>5.6</v>
      </c>
      <c r="F46">
        <v>0</v>
      </c>
      <c r="G46">
        <v>2.8</v>
      </c>
      <c r="H46">
        <v>27</v>
      </c>
      <c r="I46">
        <v>10</v>
      </c>
      <c r="J46">
        <v>58.8</v>
      </c>
      <c r="K46">
        <v>68</v>
      </c>
      <c r="L46">
        <v>0</v>
      </c>
      <c r="M46">
        <f t="shared" si="2"/>
        <v>39.799999999999997</v>
      </c>
      <c r="N46">
        <v>127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s="10">
        <f t="shared" si="3"/>
        <v>4.7619047619047619</v>
      </c>
    </row>
    <row r="47" spans="1:21" x14ac:dyDescent="0.25">
      <c r="A47" s="9">
        <v>36</v>
      </c>
      <c r="B47" t="s">
        <v>26</v>
      </c>
      <c r="C47">
        <v>128</v>
      </c>
      <c r="D47">
        <v>31</v>
      </c>
      <c r="E47">
        <v>6.1</v>
      </c>
      <c r="F47">
        <v>0</v>
      </c>
      <c r="G47">
        <v>4.9000000000000004</v>
      </c>
      <c r="H47">
        <v>49</v>
      </c>
      <c r="I47">
        <v>20</v>
      </c>
      <c r="J47">
        <v>90.9</v>
      </c>
      <c r="K47">
        <v>81</v>
      </c>
      <c r="L47">
        <v>0</v>
      </c>
      <c r="M47">
        <f t="shared" si="2"/>
        <v>73.900000000000006</v>
      </c>
      <c r="N47">
        <v>162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s="10">
        <f t="shared" si="3"/>
        <v>5.3905390539053899</v>
      </c>
    </row>
    <row r="48" spans="1:21" x14ac:dyDescent="0.25">
      <c r="A48" s="9">
        <v>37</v>
      </c>
      <c r="B48" t="s">
        <v>26</v>
      </c>
      <c r="C48">
        <v>153</v>
      </c>
      <c r="D48">
        <v>21</v>
      </c>
      <c r="E48">
        <v>6.1</v>
      </c>
      <c r="F48">
        <v>0</v>
      </c>
      <c r="G48">
        <v>3.1</v>
      </c>
      <c r="H48">
        <v>39</v>
      </c>
      <c r="I48">
        <v>15</v>
      </c>
      <c r="J48">
        <v>73.099999999999994</v>
      </c>
      <c r="K48">
        <v>78</v>
      </c>
      <c r="L48">
        <v>0</v>
      </c>
      <c r="M48">
        <f t="shared" si="2"/>
        <v>57.1</v>
      </c>
      <c r="N48">
        <v>161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s="10">
        <f t="shared" si="3"/>
        <v>4.2407660738714092</v>
      </c>
    </row>
    <row r="49" spans="1:21" x14ac:dyDescent="0.25">
      <c r="A49" s="9">
        <v>38</v>
      </c>
      <c r="B49" t="s">
        <v>26</v>
      </c>
      <c r="C49">
        <v>109</v>
      </c>
      <c r="D49">
        <v>19</v>
      </c>
      <c r="E49">
        <v>6</v>
      </c>
      <c r="F49">
        <v>0</v>
      </c>
      <c r="G49">
        <v>3.2</v>
      </c>
      <c r="H49">
        <v>36</v>
      </c>
      <c r="I49">
        <v>14</v>
      </c>
      <c r="J49">
        <v>70.2</v>
      </c>
      <c r="K49">
        <v>76</v>
      </c>
      <c r="L49">
        <v>0</v>
      </c>
      <c r="M49">
        <f t="shared" si="2"/>
        <v>53.2</v>
      </c>
      <c r="N49">
        <v>154</v>
      </c>
      <c r="O49" t="s">
        <v>27</v>
      </c>
      <c r="P49">
        <v>0.35</v>
      </c>
      <c r="Q49">
        <v>1.5</v>
      </c>
      <c r="R49">
        <v>25</v>
      </c>
      <c r="S49">
        <v>4.8</v>
      </c>
      <c r="T49">
        <v>3.3</v>
      </c>
      <c r="U49" s="10">
        <f t="shared" si="3"/>
        <v>4.5584045584045585</v>
      </c>
    </row>
    <row r="50" spans="1:21" x14ac:dyDescent="0.25">
      <c r="A50" s="9">
        <v>38</v>
      </c>
      <c r="B50" t="s">
        <v>28</v>
      </c>
      <c r="C50">
        <v>135</v>
      </c>
      <c r="D50">
        <v>23</v>
      </c>
      <c r="E50">
        <v>5.9</v>
      </c>
      <c r="F50">
        <v>0</v>
      </c>
      <c r="G50">
        <v>3</v>
      </c>
      <c r="H50">
        <v>39</v>
      </c>
      <c r="I50">
        <v>16</v>
      </c>
      <c r="J50">
        <v>76</v>
      </c>
      <c r="K50">
        <v>76</v>
      </c>
      <c r="L50">
        <v>0</v>
      </c>
      <c r="M50">
        <f t="shared" si="2"/>
        <v>58</v>
      </c>
      <c r="N50">
        <v>131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s="10">
        <f t="shared" si="3"/>
        <v>3.9473684210526314</v>
      </c>
    </row>
    <row r="51" spans="1:21" x14ac:dyDescent="0.25">
      <c r="A51" s="9">
        <v>39</v>
      </c>
      <c r="B51" t="s">
        <v>26</v>
      </c>
      <c r="C51">
        <v>126</v>
      </c>
      <c r="D51">
        <v>17</v>
      </c>
      <c r="E51">
        <v>5.4</v>
      </c>
      <c r="F51">
        <v>0</v>
      </c>
      <c r="G51">
        <v>1.2</v>
      </c>
      <c r="H51">
        <v>27</v>
      </c>
      <c r="I51">
        <v>8</v>
      </c>
      <c r="J51">
        <v>58.2</v>
      </c>
      <c r="K51">
        <v>62</v>
      </c>
      <c r="L51">
        <v>0</v>
      </c>
      <c r="M51">
        <f t="shared" si="2"/>
        <v>36.200000000000003</v>
      </c>
      <c r="N51">
        <v>116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s="10">
        <f t="shared" si="3"/>
        <v>2.0618556701030926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20260406111631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Invicta</dc:creator>
  <cp:lastModifiedBy>Jhon Invicta</cp:lastModifiedBy>
  <dcterms:created xsi:type="dcterms:W3CDTF">2026-04-06T18:48:41Z</dcterms:created>
  <dcterms:modified xsi:type="dcterms:W3CDTF">2026-04-07T09:56:13Z</dcterms:modified>
</cp:coreProperties>
</file>